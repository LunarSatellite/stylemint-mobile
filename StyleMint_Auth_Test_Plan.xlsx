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mitaryal/flutter projects/voyager/stylemint_mobile_frontend/"/>
    </mc:Choice>
  </mc:AlternateContent>
  <xr:revisionPtr revIDLastSave="0" documentId="13_ncr:1_{086E77DA-3BE2-4D42-B1DB-53ED9345646D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Instructions" sheetId="1" r:id="rId1"/>
    <sheet name="Test Cases" sheetId="2" r:id="rId2"/>
    <sheet name="Summary" sheetId="3" r:id="rId3"/>
  </sheets>
  <definedNames>
    <definedName name="_xlnm._FilterDatabase" localSheetId="1" hidden="1">'Test Cases'!$A$1:$I$62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</calcChain>
</file>

<file path=xl/sharedStrings.xml><?xml version="1.0" encoding="utf-8"?>
<sst xmlns="http://schemas.openxmlformats.org/spreadsheetml/2006/main" count="369" uniqueCount="260">
  <si>
    <t>Style Mint — Authentication Test Plan</t>
  </si>
  <si>
    <t>Manual test checklist for the app sign-in / sign-up flows</t>
  </si>
  <si>
    <t>TEST RUN DETAILS</t>
  </si>
  <si>
    <t>Tester name</t>
  </si>
  <si>
    <t>Date tested</t>
  </si>
  <si>
    <t>App version / build</t>
  </si>
  <si>
    <t>Device</t>
  </si>
  <si>
    <t>(e.g. iPhone 14, Samsung S23)</t>
  </si>
  <si>
    <t>Operating system</t>
  </si>
  <si>
    <t>(e.g. iOS 17.4, Android 14)</t>
  </si>
  <si>
    <t>Environment</t>
  </si>
  <si>
    <t>Staging</t>
  </si>
  <si>
    <t>HOW TO USE THIS SHEET</t>
  </si>
  <si>
    <t>1. Go to the 'Test Cases' tab. Work through each row top to bottom.</t>
  </si>
  <si>
    <t>2. Follow the 'Steps to perform' exactly, then check what happens.</t>
  </si>
  <si>
    <t>3. In the 'Result' column pick: Pass / Fail / Blocked / Not Tested (dropdown).</t>
  </si>
  <si>
    <t>4. If it is NOT a Pass, write what actually happened in 'Reason / what went wrong'.</t>
  </si>
  <si>
    <t>5. Pick a 'Severity' for any failure (Critical / Major / Minor).</t>
  </si>
  <si>
    <t>6. Add anything useful (screenshot name, error text) in 'Notes'.</t>
  </si>
  <si>
    <t>7. The 'Summary' tab counts your results automatically.</t>
  </si>
  <si>
    <t>RESULT MEANINGS</t>
  </si>
  <si>
    <t>Pass</t>
  </si>
  <si>
    <t>Worked exactly as described in 'What should happen'.</t>
  </si>
  <si>
    <t>Fail</t>
  </si>
  <si>
    <t>Did not work as described — fill in the reason.</t>
  </si>
  <si>
    <t>Blocked</t>
  </si>
  <si>
    <t>Could not test it (something else broke first / feature missing).</t>
  </si>
  <si>
    <t>Not Tested</t>
  </si>
  <si>
    <t>Haven't checked it yet.</t>
  </si>
  <si>
    <t>KNOWN — NOT READY YET (do not log as failures)</t>
  </si>
  <si>
    <t>• Apple sign-in — button is shown but not working yet.</t>
  </si>
  <si>
    <t>• Delete account — there is no screen for this yet (still to be built).</t>
  </si>
  <si>
    <t>ID</t>
  </si>
  <si>
    <t>Section</t>
  </si>
  <si>
    <t>Test scenario</t>
  </si>
  <si>
    <t>Steps to perform</t>
  </si>
  <si>
    <t>What should happen</t>
  </si>
  <si>
    <t>Result</t>
  </si>
  <si>
    <t>Reason / what went wrong</t>
  </si>
  <si>
    <t>Severity</t>
  </si>
  <si>
    <t>Notes</t>
  </si>
  <si>
    <t>A. Sign up with phone</t>
  </si>
  <si>
    <t>A1</t>
  </si>
  <si>
    <t>First launch</t>
  </si>
  <si>
    <t>Open the app for the first time.</t>
  </si>
  <si>
    <t>You land on the welcome / sign-in screen.</t>
  </si>
  <si>
    <t>A2</t>
  </si>
  <si>
    <t>Request code</t>
  </si>
  <si>
    <t>Choose 'Continue with phone', enter your phone number, tap continue.</t>
  </si>
  <si>
    <t>You go to the code screen and receive an SMS with a 5-digit code.</t>
  </si>
  <si>
    <t>A3</t>
  </si>
  <si>
    <t>Enter correct code</t>
  </si>
  <si>
    <t>Type the correct 5-digit code.</t>
  </si>
  <si>
    <t>A4</t>
  </si>
  <si>
    <t>Finish sign-up</t>
  </si>
  <si>
    <t>Complete any remaining sign-up steps shown for a new number.</t>
  </si>
  <si>
    <t>You end up inside the app, logged in.</t>
  </si>
  <si>
    <t>B. Log in with phone</t>
  </si>
  <si>
    <t>B1</t>
  </si>
  <si>
    <t>Receive code</t>
  </si>
  <si>
    <t>Enter your phone number, tap continue.</t>
  </si>
  <si>
    <t>You receive a 5-digit code by SMS.</t>
  </si>
  <si>
    <t>B2</t>
  </si>
  <si>
    <t>Wrong code</t>
  </si>
  <si>
    <t>Enter the wrong code.</t>
  </si>
  <si>
    <t>You see 'That code is wrong' and the boxes clear so you can retry.</t>
  </si>
  <si>
    <t>B3</t>
  </si>
  <si>
    <t>Expired code</t>
  </si>
  <si>
    <t>Wait for the code to expire, then enter it.</t>
  </si>
  <si>
    <t>You see 'Code expired' with an option to resend.</t>
  </si>
  <si>
    <t>B4</t>
  </si>
  <si>
    <t>Resend too soon</t>
  </si>
  <si>
    <t>Tap 'Resend' immediately.</t>
  </si>
  <si>
    <t>Resend button is greyed out for about a minute (can't spam it).</t>
  </si>
  <si>
    <t>B5</t>
  </si>
  <si>
    <t>Resend after wait</t>
  </si>
  <si>
    <t>Wait the cooldown, then tap 'Resend'.</t>
  </si>
  <si>
    <t>A new code arrives by SMS.</t>
  </si>
  <si>
    <t>B6</t>
  </si>
  <si>
    <t>Too many wrong tries</t>
  </si>
  <si>
    <t>Enter many wrong codes in a row.</t>
  </si>
  <si>
    <t>You're temporarily blocked and told how long to wait.</t>
  </si>
  <si>
    <t>B7</t>
  </si>
  <si>
    <t>Code box behaviour</t>
  </si>
  <si>
    <t>Type the code box by box.</t>
  </si>
  <si>
    <t>Cursor jumps to next box; once 5th digit entered it submits on its own.</t>
  </si>
  <si>
    <t>B8</t>
  </si>
  <si>
    <t>Invalid phone</t>
  </si>
  <si>
    <t>Enter a clearly invalid phone (too short).</t>
  </si>
  <si>
    <t>App stops you before sending, with a hint.</t>
  </si>
  <si>
    <t>C. Email magic link</t>
  </si>
  <si>
    <t>C1</t>
  </si>
  <si>
    <t>Request link</t>
  </si>
  <si>
    <t>Choose email, enter your email, tap continue.</t>
  </si>
  <si>
    <t>You see a 'Check your email' screen.</t>
  </si>
  <si>
    <t>C2</t>
  </si>
  <si>
    <t>Open link</t>
  </si>
  <si>
    <t>Open the email, tap the login link.</t>
  </si>
  <si>
    <t>The app opens and logs you in automatically → home.</t>
  </si>
  <si>
    <t>C3</t>
  </si>
  <si>
    <t>Open mail app</t>
  </si>
  <si>
    <t>On the 'Check your email' screen, tap 'Open mail app'.</t>
  </si>
  <si>
    <t>Your mail app opens.</t>
  </si>
  <si>
    <t>C4</t>
  </si>
  <si>
    <t>Wrong email</t>
  </si>
  <si>
    <t>Tap 'Wrong email?'.</t>
  </si>
  <si>
    <t>You go back to re-enter your email.</t>
  </si>
  <si>
    <t>C5</t>
  </si>
  <si>
    <t>Reused link</t>
  </si>
  <si>
    <t>Tap a link you already used once.</t>
  </si>
  <si>
    <t>It does NOT log you in; you see an error / are sent to sign-in.</t>
  </si>
  <si>
    <t>C6</t>
  </si>
  <si>
    <t>Expired link</t>
  </si>
  <si>
    <t>Tap the link a long time after it was sent.</t>
  </si>
  <si>
    <t>It does NOT log you in; you see an error.</t>
  </si>
  <si>
    <t>D. Password login</t>
  </si>
  <si>
    <t>D1</t>
  </si>
  <si>
    <t>Email + password</t>
  </si>
  <si>
    <t>Enter correct email + password.</t>
  </si>
  <si>
    <t>You're logged in → home.</t>
  </si>
  <si>
    <t>D2</t>
  </si>
  <si>
    <t>Phone + password</t>
  </si>
  <si>
    <t>Enter correct phone + password.</t>
  </si>
  <si>
    <t>D3</t>
  </si>
  <si>
    <t>Wrong password</t>
  </si>
  <si>
    <t>Enter wrong password.</t>
  </si>
  <si>
    <t>You see 'We couldn't find that account' (or similar).</t>
  </si>
  <si>
    <t>D4</t>
  </si>
  <si>
    <t>Locked account</t>
  </si>
  <si>
    <t>Enter password for a locked account.</t>
  </si>
  <si>
    <t>You see 'Account locked, try again in N minutes'.</t>
  </si>
  <si>
    <t>D5</t>
  </si>
  <si>
    <t>Empty field</t>
  </si>
  <si>
    <t>Leave a field empty and submit.</t>
  </si>
  <si>
    <t>App stops you and points to the empty field.</t>
  </si>
  <si>
    <t>E. Forgot password</t>
  </si>
  <si>
    <t>E1</t>
  </si>
  <si>
    <t>Request reset</t>
  </si>
  <si>
    <t>Tap 'Forgot?', enter your email, submit.</t>
  </si>
  <si>
    <t>You're told a reset email was sent.</t>
  </si>
  <si>
    <t>E2</t>
  </si>
  <si>
    <t>Set new password</t>
  </si>
  <si>
    <t>Open the reset email, set a new password.</t>
  </si>
  <si>
    <t>Password changed; you can log in with the new one.</t>
  </si>
  <si>
    <t>E3</t>
  </si>
  <si>
    <t>Old password blocked</t>
  </si>
  <si>
    <t>Try logging in with the OLD password afterwards.</t>
  </si>
  <si>
    <t>It no longer works.</t>
  </si>
  <si>
    <t>E4</t>
  </si>
  <si>
    <t>Weak password</t>
  </si>
  <si>
    <t>Try a very weak new password.</t>
  </si>
  <si>
    <t>App rejects it with guidance.</t>
  </si>
  <si>
    <t>F. Social login</t>
  </si>
  <si>
    <t>F1</t>
  </si>
  <si>
    <t>Google login</t>
  </si>
  <si>
    <t>Tap 'Continue with Google', complete login.</t>
  </si>
  <si>
    <t>You return to the app logged in. (Built — confirm it works.)</t>
  </si>
  <si>
    <t>F2</t>
  </si>
  <si>
    <t>Facebook login</t>
  </si>
  <si>
    <t>Tap 'Continue with Facebook', complete login.</t>
  </si>
  <si>
    <t>F3</t>
  </si>
  <si>
    <t>Apple (not live)</t>
  </si>
  <si>
    <t>Tap 'Continue with Apple'.</t>
  </si>
  <si>
    <t>Not live yet — app stays stable, nothing breaks.</t>
  </si>
  <si>
    <t>F4</t>
  </si>
  <si>
    <t>Cancel mid-login</t>
  </si>
  <si>
    <t>Start Google/Facebook login, then cancel in the browser.</t>
  </si>
  <si>
    <t>You return to sign-in, not logged in, no crash.</t>
  </si>
  <si>
    <t>F5</t>
  </si>
  <si>
    <t>Existing email</t>
  </si>
  <si>
    <t>Sign in with Google using an email that already has an account.</t>
  </si>
  <si>
    <t>Signs into the SAME account — no duplicate is created.</t>
  </si>
  <si>
    <t>G. Account type</t>
  </si>
  <si>
    <t>G1</t>
  </si>
  <si>
    <t>Pick type</t>
  </si>
  <si>
    <t>After first login, pick an account type.</t>
  </si>
  <si>
    <t>App shows the matching home/tabs for that type.</t>
  </si>
  <si>
    <t>G2</t>
  </si>
  <si>
    <t>Apply Creator/Vendor</t>
  </si>
  <si>
    <t>Apply to become a Creator or Vendor.</t>
  </si>
  <si>
    <t>You see a 'pending review' status.</t>
  </si>
  <si>
    <t>G3</t>
  </si>
  <si>
    <t>Switch role</t>
  </si>
  <si>
    <t>Switch your active role from settings/profile.</t>
  </si>
  <si>
    <t>Bottom tabs change to match new role — no need to log in again.</t>
  </si>
  <si>
    <t>H. Staying logged in</t>
  </si>
  <si>
    <t>H1</t>
  </si>
  <si>
    <t>Reopen app</t>
  </si>
  <si>
    <t>Close the app completely and reopen it.</t>
  </si>
  <si>
    <t>You're still logged in (no need to sign in again).</t>
  </si>
  <si>
    <t>H2</t>
  </si>
  <si>
    <t>Long idle</t>
  </si>
  <si>
    <t>Leave the app idle 20+ minutes, then use it.</t>
  </si>
  <si>
    <t>Keeps working smoothly; you're not unexpectedly logged out.</t>
  </si>
  <si>
    <t>H3</t>
  </si>
  <si>
    <t>Offline</t>
  </si>
  <si>
    <t>Turn off internet, then open the app.</t>
  </si>
  <si>
    <t>You see an 'offline' message; no crash, not logged out.</t>
  </si>
  <si>
    <t>H4</t>
  </si>
  <si>
    <t>Log out</t>
  </si>
  <si>
    <t>Log out.</t>
  </si>
  <si>
    <t>You're returned to the welcome screen.</t>
  </si>
  <si>
    <t>H5</t>
  </si>
  <si>
    <t>Back after logout</t>
  </si>
  <si>
    <t>After logging out, press back.</t>
  </si>
  <si>
    <t>You can't get back in without logging in again.</t>
  </si>
  <si>
    <t>I. Profile &amp; security</t>
  </si>
  <si>
    <t>I1</t>
  </si>
  <si>
    <t>View profile</t>
  </si>
  <si>
    <t>Open your profile / account screen.</t>
  </si>
  <si>
    <t>Your name, email, phone show correctly.</t>
  </si>
  <si>
    <t>I2</t>
  </si>
  <si>
    <t>Edit name</t>
  </si>
  <si>
    <t>Edit your name and save.</t>
  </si>
  <si>
    <t>Change sticks after you reopen the screen.</t>
  </si>
  <si>
    <t>I3</t>
  </si>
  <si>
    <t>Change password</t>
  </si>
  <si>
    <t>Change your password (current + new).</t>
  </si>
  <si>
    <t>Saved; the old password stops working.</t>
  </si>
  <si>
    <t>I4</t>
  </si>
  <si>
    <t>View devices/sessions</t>
  </si>
  <si>
    <t>Open 'Devices' / 'Sessions'.</t>
  </si>
  <si>
    <t>You see the devices/sessions you're logged in on.</t>
  </si>
  <si>
    <t>I5</t>
  </si>
  <si>
    <t>Log out other device</t>
  </si>
  <si>
    <t>Log out one other device/session.</t>
  </si>
  <si>
    <t>That session disappears from the list.</t>
  </si>
  <si>
    <t>I6</t>
  </si>
  <si>
    <t>Set up 2FA</t>
  </si>
  <si>
    <t>Set up two-factor (authenticator app).</t>
  </si>
  <si>
    <t>You can scan/enter the code and confirm it.</t>
  </si>
  <si>
    <t>I7</t>
  </si>
  <si>
    <t>Marketing prefs</t>
  </si>
  <si>
    <t>View / change marketing email preferences.</t>
  </si>
  <si>
    <t>Toggles save correctly.</t>
  </si>
  <si>
    <t>I8</t>
  </si>
  <si>
    <t>Block / unblock</t>
  </si>
  <si>
    <t>Block, then unblock a user.</t>
  </si>
  <si>
    <t>List updates each time.</t>
  </si>
  <si>
    <t>I9</t>
  </si>
  <si>
    <t>Pause / resume</t>
  </si>
  <si>
    <t>Pause your account, then resume it.</t>
  </si>
  <si>
    <t>Status changes correctly both ways.</t>
  </si>
  <si>
    <t>J. Notifications &amp; links</t>
  </si>
  <si>
    <t>J1</t>
  </si>
  <si>
    <t>Link while logged out</t>
  </si>
  <si>
    <t>While logged out, tap a Style Mint link (e.g. shared product).</t>
  </si>
  <si>
    <t>You're asked to log in first, then taken to that exact item.</t>
  </si>
  <si>
    <t>J2</t>
  </si>
  <si>
    <t>Link while logged in</t>
  </si>
  <si>
    <t>Tap a Style Mint link while already logged in.</t>
  </si>
  <si>
    <t>It opens the right screen directly.</t>
  </si>
  <si>
    <t>Test Run Summary</t>
  </si>
  <si>
    <t>Count</t>
  </si>
  <si>
    <t>Total test cases</t>
  </si>
  <si>
    <t>Note: section header rows (e.g. 'A. Sign up with phone') are not counted as test cases.</t>
  </si>
  <si>
    <t>partially passed with default otp</t>
  </si>
  <si>
    <t>You're logged in and taken to interest picker-&gt; creaters-&gt;brands.</t>
  </si>
  <si>
    <t>resend otp not configured with api</t>
  </si>
  <si>
    <t>there is no proper email(half link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</si>
</sst>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1F3864"/>
      <name val="Arial"/>
      <family val="2"/>
    </font>
    <font>
      <i/>
      <sz val="11"/>
      <color rgb="FF595959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80808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1F3864"/>
      <name val="Arial"/>
      <family val="2"/>
    </font>
    <font>
      <i/>
      <sz val="9"/>
      <color rgb="FF8080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vertical="top" wrapText="1"/>
    </xf>
    <xf numFmtId="0" fontId="4" fillId="0" borderId="1" xfId="0" applyFont="1" applyBorder="1"/>
    <xf numFmtId="0" fontId="7" fillId="0" borderId="1" xfId="0" applyFont="1" applyBorder="1"/>
    <xf numFmtId="0" fontId="3" fillId="4" borderId="0" xfId="0" applyFont="1" applyFill="1"/>
    <xf numFmtId="0" fontId="0" fillId="4" borderId="0" xfId="0" applyFill="1"/>
    <xf numFmtId="0" fontId="8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/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0" borderId="0" xfId="0" applyFont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7" fillId="3" borderId="1" xfId="0" applyFont="1" applyFill="1" applyBorder="1"/>
    <xf numFmtId="0" fontId="12" fillId="0" borderId="0" xfId="0" applyFont="1"/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85" customWidth="1"/>
  </cols>
  <sheetData>
    <row r="1" spans="1:2" ht="25" x14ac:dyDescent="0.25">
      <c r="A1" s="1" t="s">
        <v>0</v>
      </c>
    </row>
    <row r="2" spans="1:2" x14ac:dyDescent="0.2">
      <c r="A2" s="2" t="s">
        <v>1</v>
      </c>
    </row>
    <row r="4" spans="1:2" ht="16" x14ac:dyDescent="0.2">
      <c r="A4" s="3" t="s">
        <v>2</v>
      </c>
      <c r="B4" s="4"/>
    </row>
    <row r="5" spans="1:2" x14ac:dyDescent="0.2">
      <c r="A5" s="5" t="s">
        <v>3</v>
      </c>
      <c r="B5" s="6"/>
    </row>
    <row r="6" spans="1:2" x14ac:dyDescent="0.2">
      <c r="A6" s="5" t="s">
        <v>4</v>
      </c>
      <c r="B6" s="6"/>
    </row>
    <row r="7" spans="1:2" x14ac:dyDescent="0.2">
      <c r="A7" s="5" t="s">
        <v>5</v>
      </c>
      <c r="B7" s="6"/>
    </row>
    <row r="8" spans="1:2" x14ac:dyDescent="0.2">
      <c r="A8" s="5" t="s">
        <v>6</v>
      </c>
      <c r="B8" s="7" t="s">
        <v>7</v>
      </c>
    </row>
    <row r="9" spans="1:2" x14ac:dyDescent="0.2">
      <c r="A9" s="5" t="s">
        <v>8</v>
      </c>
      <c r="B9" s="7" t="s">
        <v>9</v>
      </c>
    </row>
    <row r="10" spans="1:2" x14ac:dyDescent="0.2">
      <c r="A10" s="5" t="s">
        <v>10</v>
      </c>
      <c r="B10" s="7" t="s">
        <v>11</v>
      </c>
    </row>
    <row r="12" spans="1:2" ht="16" x14ac:dyDescent="0.2">
      <c r="A12" s="3" t="s">
        <v>12</v>
      </c>
      <c r="B12" s="4"/>
    </row>
    <row r="13" spans="1:2" ht="45" x14ac:dyDescent="0.2">
      <c r="A13" s="8" t="s">
        <v>13</v>
      </c>
    </row>
    <row r="14" spans="1:2" ht="30" x14ac:dyDescent="0.2">
      <c r="A14" s="8" t="s">
        <v>14</v>
      </c>
    </row>
    <row r="15" spans="1:2" ht="45" x14ac:dyDescent="0.2">
      <c r="A15" s="8" t="s">
        <v>15</v>
      </c>
    </row>
    <row r="16" spans="1:2" ht="45" x14ac:dyDescent="0.2">
      <c r="A16" s="8" t="s">
        <v>16</v>
      </c>
    </row>
    <row r="17" spans="1:2" ht="30" x14ac:dyDescent="0.2">
      <c r="A17" s="8" t="s">
        <v>17</v>
      </c>
    </row>
    <row r="18" spans="1:2" ht="30" x14ac:dyDescent="0.2">
      <c r="A18" s="8" t="s">
        <v>18</v>
      </c>
    </row>
    <row r="19" spans="1:2" ht="30" x14ac:dyDescent="0.2">
      <c r="A19" s="8" t="s">
        <v>19</v>
      </c>
    </row>
    <row r="21" spans="1:2" ht="16" x14ac:dyDescent="0.2">
      <c r="A21" s="3" t="s">
        <v>20</v>
      </c>
      <c r="B21" s="4"/>
    </row>
    <row r="22" spans="1:2" x14ac:dyDescent="0.2">
      <c r="A22" s="9" t="s">
        <v>21</v>
      </c>
      <c r="B22" s="10" t="s">
        <v>22</v>
      </c>
    </row>
    <row r="23" spans="1:2" x14ac:dyDescent="0.2">
      <c r="A23" s="9" t="s">
        <v>23</v>
      </c>
      <c r="B23" s="10" t="s">
        <v>24</v>
      </c>
    </row>
    <row r="24" spans="1:2" x14ac:dyDescent="0.2">
      <c r="A24" s="9" t="s">
        <v>25</v>
      </c>
      <c r="B24" s="10" t="s">
        <v>26</v>
      </c>
    </row>
    <row r="25" spans="1:2" x14ac:dyDescent="0.2">
      <c r="A25" s="9" t="s">
        <v>27</v>
      </c>
      <c r="B25" s="10" t="s">
        <v>28</v>
      </c>
    </row>
    <row r="27" spans="1:2" ht="16" x14ac:dyDescent="0.2">
      <c r="A27" s="11" t="s">
        <v>29</v>
      </c>
      <c r="B27" s="12"/>
    </row>
    <row r="28" spans="1:2" x14ac:dyDescent="0.2">
      <c r="A28" s="13" t="s">
        <v>30</v>
      </c>
    </row>
    <row r="29" spans="1:2" x14ac:dyDescent="0.2">
      <c r="A29" s="1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tabSelected="1" workbookViewId="0">
      <pane ySplit="1" topLeftCell="A50" activePane="bottomLeft" state="frozen"/>
      <selection pane="bottomLeft" activeCell="G24" sqref="G24:G33"/>
    </sheetView>
  </sheetViews>
  <sheetFormatPr baseColWidth="10" defaultColWidth="8.83203125" defaultRowHeight="15" x14ac:dyDescent="0.2"/>
  <cols>
    <col min="1" max="1" width="6" customWidth="1"/>
    <col min="2" max="3" width="22" customWidth="1"/>
    <col min="4" max="5" width="46" customWidth="1"/>
    <col min="6" max="6" width="12" customWidth="1"/>
    <col min="7" max="7" width="38" customWidth="1"/>
    <col min="8" max="8" width="22.83203125" customWidth="1"/>
    <col min="9" max="9" width="28" customWidth="1"/>
  </cols>
  <sheetData>
    <row r="1" spans="1:9" x14ac:dyDescent="0.2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39</v>
      </c>
      <c r="I1" s="14" t="s">
        <v>40</v>
      </c>
    </row>
    <row r="2" spans="1:9" x14ac:dyDescent="0.2">
      <c r="A2" s="15" t="s">
        <v>41</v>
      </c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7" t="s">
        <v>42</v>
      </c>
      <c r="B3" s="18" t="s">
        <v>41</v>
      </c>
      <c r="C3" s="18" t="s">
        <v>43</v>
      </c>
      <c r="D3" s="18" t="s">
        <v>44</v>
      </c>
      <c r="E3" s="18" t="s">
        <v>45</v>
      </c>
      <c r="F3" s="17" t="s">
        <v>21</v>
      </c>
      <c r="G3" s="18"/>
      <c r="H3" s="17"/>
      <c r="I3" s="18"/>
    </row>
    <row r="4" spans="1:9" ht="28" x14ac:dyDescent="0.2">
      <c r="A4" s="19" t="s">
        <v>46</v>
      </c>
      <c r="B4" s="20" t="s">
        <v>41</v>
      </c>
      <c r="C4" s="20" t="s">
        <v>47</v>
      </c>
      <c r="D4" s="20" t="s">
        <v>48</v>
      </c>
      <c r="E4" s="20" t="s">
        <v>49</v>
      </c>
      <c r="F4" s="17" t="s">
        <v>25</v>
      </c>
      <c r="G4" s="20" t="s">
        <v>256</v>
      </c>
      <c r="H4" s="19"/>
      <c r="I4" s="20"/>
    </row>
    <row r="5" spans="1:9" ht="28" x14ac:dyDescent="0.2">
      <c r="A5" s="17" t="s">
        <v>50</v>
      </c>
      <c r="B5" s="18" t="s">
        <v>41</v>
      </c>
      <c r="C5" s="18" t="s">
        <v>51</v>
      </c>
      <c r="D5" s="18" t="s">
        <v>52</v>
      </c>
      <c r="E5" s="18" t="s">
        <v>257</v>
      </c>
      <c r="F5" s="17" t="s">
        <v>21</v>
      </c>
      <c r="G5" s="18"/>
      <c r="H5" s="17"/>
      <c r="I5" s="18"/>
    </row>
    <row r="6" spans="1:9" ht="28" x14ac:dyDescent="0.2">
      <c r="A6" s="19" t="s">
        <v>53</v>
      </c>
      <c r="B6" s="20" t="s">
        <v>41</v>
      </c>
      <c r="C6" s="20" t="s">
        <v>54</v>
      </c>
      <c r="D6" s="20" t="s">
        <v>55</v>
      </c>
      <c r="E6" s="20" t="s">
        <v>56</v>
      </c>
      <c r="F6" s="17" t="s">
        <v>21</v>
      </c>
      <c r="G6" s="20"/>
      <c r="H6" s="19"/>
      <c r="I6" s="20"/>
    </row>
    <row r="7" spans="1:9" x14ac:dyDescent="0.2">
      <c r="A7" s="15" t="s">
        <v>57</v>
      </c>
      <c r="B7" s="16"/>
      <c r="C7" s="16"/>
      <c r="D7" s="16"/>
      <c r="E7" s="16"/>
      <c r="F7" s="16"/>
      <c r="G7" s="16"/>
      <c r="H7" s="16"/>
      <c r="I7" s="16"/>
    </row>
    <row r="8" spans="1:9" x14ac:dyDescent="0.2">
      <c r="A8" s="19" t="s">
        <v>58</v>
      </c>
      <c r="B8" s="20" t="s">
        <v>57</v>
      </c>
      <c r="C8" s="20" t="s">
        <v>59</v>
      </c>
      <c r="D8" s="20" t="s">
        <v>60</v>
      </c>
      <c r="E8" s="20" t="s">
        <v>61</v>
      </c>
      <c r="F8" s="17" t="s">
        <v>21</v>
      </c>
      <c r="G8" s="20"/>
      <c r="H8" s="19"/>
      <c r="I8" s="20"/>
    </row>
    <row r="9" spans="1:9" ht="28" x14ac:dyDescent="0.2">
      <c r="A9" s="17" t="s">
        <v>62</v>
      </c>
      <c r="B9" s="18" t="s">
        <v>57</v>
      </c>
      <c r="C9" s="18" t="s">
        <v>63</v>
      </c>
      <c r="D9" s="18" t="s">
        <v>64</v>
      </c>
      <c r="E9" s="18" t="s">
        <v>65</v>
      </c>
      <c r="F9" s="17" t="s">
        <v>21</v>
      </c>
      <c r="G9" s="18"/>
      <c r="H9" s="17"/>
      <c r="I9" s="18"/>
    </row>
    <row r="10" spans="1:9" x14ac:dyDescent="0.2">
      <c r="A10" s="19" t="s">
        <v>66</v>
      </c>
      <c r="B10" s="20" t="s">
        <v>57</v>
      </c>
      <c r="C10" s="20" t="s">
        <v>67</v>
      </c>
      <c r="D10" s="20" t="s">
        <v>68</v>
      </c>
      <c r="E10" s="20" t="s">
        <v>69</v>
      </c>
      <c r="F10" s="17" t="s">
        <v>23</v>
      </c>
      <c r="G10" s="20" t="s">
        <v>258</v>
      </c>
      <c r="H10" s="19"/>
      <c r="I10" s="20"/>
    </row>
    <row r="11" spans="1:9" ht="28" x14ac:dyDescent="0.2">
      <c r="A11" s="17" t="s">
        <v>70</v>
      </c>
      <c r="B11" s="18" t="s">
        <v>57</v>
      </c>
      <c r="C11" s="18" t="s">
        <v>71</v>
      </c>
      <c r="D11" s="18" t="s">
        <v>72</v>
      </c>
      <c r="E11" s="18" t="s">
        <v>73</v>
      </c>
      <c r="F11" s="17" t="s">
        <v>23</v>
      </c>
      <c r="G11" s="18"/>
      <c r="H11" s="17"/>
      <c r="I11" s="18"/>
    </row>
    <row r="12" spans="1:9" x14ac:dyDescent="0.2">
      <c r="A12" s="19" t="s">
        <v>74</v>
      </c>
      <c r="B12" s="20" t="s">
        <v>57</v>
      </c>
      <c r="C12" s="20" t="s">
        <v>75</v>
      </c>
      <c r="D12" s="20" t="s">
        <v>76</v>
      </c>
      <c r="E12" s="20" t="s">
        <v>77</v>
      </c>
      <c r="F12" s="17" t="s">
        <v>23</v>
      </c>
      <c r="G12" s="20"/>
      <c r="H12" s="19"/>
      <c r="I12" s="20"/>
    </row>
    <row r="13" spans="1:9" x14ac:dyDescent="0.2">
      <c r="A13" s="17" t="s">
        <v>78</v>
      </c>
      <c r="B13" s="18" t="s">
        <v>57</v>
      </c>
      <c r="C13" s="18" t="s">
        <v>79</v>
      </c>
      <c r="D13" s="18" t="s">
        <v>80</v>
      </c>
      <c r="E13" s="18" t="s">
        <v>81</v>
      </c>
      <c r="F13" s="17" t="s">
        <v>21</v>
      </c>
      <c r="G13" s="18"/>
      <c r="H13" s="17"/>
      <c r="I13" s="18"/>
    </row>
    <row r="14" spans="1:9" ht="28" x14ac:dyDescent="0.2">
      <c r="A14" s="19" t="s">
        <v>82</v>
      </c>
      <c r="B14" s="20" t="s">
        <v>57</v>
      </c>
      <c r="C14" s="20" t="s">
        <v>83</v>
      </c>
      <c r="D14" s="20" t="s">
        <v>84</v>
      </c>
      <c r="E14" s="20" t="s">
        <v>85</v>
      </c>
      <c r="F14" s="17" t="s">
        <v>21</v>
      </c>
      <c r="G14" s="20"/>
      <c r="H14" s="19"/>
      <c r="I14" s="20"/>
    </row>
    <row r="15" spans="1:9" x14ac:dyDescent="0.2">
      <c r="A15" s="17" t="s">
        <v>86</v>
      </c>
      <c r="B15" s="18" t="s">
        <v>57</v>
      </c>
      <c r="C15" s="18" t="s">
        <v>87</v>
      </c>
      <c r="D15" s="18" t="s">
        <v>88</v>
      </c>
      <c r="E15" s="18" t="s">
        <v>89</v>
      </c>
      <c r="F15" s="17" t="s">
        <v>21</v>
      </c>
      <c r="G15" s="18"/>
      <c r="H15" s="17"/>
      <c r="I15" s="18"/>
    </row>
    <row r="16" spans="1:9" x14ac:dyDescent="0.2">
      <c r="A16" s="15" t="s">
        <v>90</v>
      </c>
      <c r="B16" s="16"/>
      <c r="C16" s="16"/>
      <c r="D16" s="16"/>
      <c r="E16" s="16"/>
      <c r="F16" s="16"/>
      <c r="G16" s="16"/>
      <c r="H16" s="16"/>
      <c r="I16" s="16"/>
    </row>
    <row r="17" spans="1:9" x14ac:dyDescent="0.2">
      <c r="A17" s="17" t="s">
        <v>91</v>
      </c>
      <c r="B17" s="18" t="s">
        <v>90</v>
      </c>
      <c r="C17" s="18" t="s">
        <v>92</v>
      </c>
      <c r="D17" s="18" t="s">
        <v>93</v>
      </c>
      <c r="E17" s="18" t="s">
        <v>94</v>
      </c>
      <c r="F17" s="17" t="s">
        <v>21</v>
      </c>
      <c r="G17" s="18"/>
      <c r="H17" s="17"/>
      <c r="I17" s="18"/>
    </row>
    <row r="18" spans="1:9" x14ac:dyDescent="0.2">
      <c r="A18" s="19" t="s">
        <v>95</v>
      </c>
      <c r="B18" s="20" t="s">
        <v>90</v>
      </c>
      <c r="C18" s="20" t="s">
        <v>96</v>
      </c>
      <c r="D18" s="20" t="s">
        <v>97</v>
      </c>
      <c r="E18" s="20" t="s">
        <v>98</v>
      </c>
      <c r="F18" s="17" t="s">
        <v>23</v>
      </c>
      <c r="G18" s="20" t="s">
        <v>259</v>
      </c>
      <c r="H18" s="19"/>
      <c r="I18" s="20"/>
    </row>
    <row r="19" spans="1:9" x14ac:dyDescent="0.2">
      <c r="A19" s="17" t="s">
        <v>99</v>
      </c>
      <c r="B19" s="18" t="s">
        <v>90</v>
      </c>
      <c r="C19" s="18" t="s">
        <v>100</v>
      </c>
      <c r="D19" s="18" t="s">
        <v>101</v>
      </c>
      <c r="E19" s="18" t="s">
        <v>102</v>
      </c>
      <c r="F19" s="17" t="s">
        <v>25</v>
      </c>
      <c r="G19" s="18"/>
      <c r="H19" s="17"/>
      <c r="I19" s="18"/>
    </row>
    <row r="20" spans="1:9" x14ac:dyDescent="0.2">
      <c r="A20" s="19" t="s">
        <v>103</v>
      </c>
      <c r="B20" s="20" t="s">
        <v>90</v>
      </c>
      <c r="C20" s="20" t="s">
        <v>104</v>
      </c>
      <c r="D20" s="20" t="s">
        <v>105</v>
      </c>
      <c r="E20" s="20" t="s">
        <v>106</v>
      </c>
      <c r="F20" s="17" t="s">
        <v>27</v>
      </c>
      <c r="G20" s="20"/>
      <c r="H20" s="19"/>
      <c r="I20" s="20"/>
    </row>
    <row r="21" spans="1:9" ht="28" x14ac:dyDescent="0.2">
      <c r="A21" s="17" t="s">
        <v>107</v>
      </c>
      <c r="B21" s="18" t="s">
        <v>90</v>
      </c>
      <c r="C21" s="18" t="s">
        <v>108</v>
      </c>
      <c r="D21" s="18" t="s">
        <v>109</v>
      </c>
      <c r="E21" s="18" t="s">
        <v>110</v>
      </c>
      <c r="F21" s="17" t="s">
        <v>25</v>
      </c>
      <c r="G21" s="18"/>
      <c r="H21" s="17"/>
      <c r="I21" s="18"/>
    </row>
    <row r="22" spans="1:9" x14ac:dyDescent="0.2">
      <c r="A22" s="19" t="s">
        <v>111</v>
      </c>
      <c r="B22" s="20" t="s">
        <v>90</v>
      </c>
      <c r="C22" s="20" t="s">
        <v>112</v>
      </c>
      <c r="D22" s="20" t="s">
        <v>113</v>
      </c>
      <c r="E22" s="20" t="s">
        <v>114</v>
      </c>
      <c r="F22" s="17" t="s">
        <v>27</v>
      </c>
      <c r="G22" s="20"/>
      <c r="H22" s="19"/>
      <c r="I22" s="20"/>
    </row>
    <row r="23" spans="1:9" x14ac:dyDescent="0.2">
      <c r="A23" s="15" t="s">
        <v>115</v>
      </c>
      <c r="B23" s="16"/>
      <c r="C23" s="16"/>
      <c r="D23" s="16"/>
      <c r="E23" s="16"/>
      <c r="F23" s="16"/>
      <c r="G23" s="16"/>
      <c r="H23" s="16"/>
      <c r="I23" s="16"/>
    </row>
    <row r="24" spans="1:9" x14ac:dyDescent="0.2">
      <c r="A24" s="19" t="s">
        <v>116</v>
      </c>
      <c r="B24" s="20" t="s">
        <v>115</v>
      </c>
      <c r="C24" s="20" t="s">
        <v>117</v>
      </c>
      <c r="D24" s="20" t="s">
        <v>118</v>
      </c>
      <c r="E24" s="20" t="s">
        <v>119</v>
      </c>
      <c r="F24" s="17" t="s">
        <v>27</v>
      </c>
      <c r="G24" s="20"/>
      <c r="H24" s="19"/>
      <c r="I24" s="20"/>
    </row>
    <row r="25" spans="1:9" x14ac:dyDescent="0.2">
      <c r="A25" s="17" t="s">
        <v>120</v>
      </c>
      <c r="B25" s="18" t="s">
        <v>115</v>
      </c>
      <c r="C25" s="18" t="s">
        <v>121</v>
      </c>
      <c r="D25" s="18" t="s">
        <v>122</v>
      </c>
      <c r="E25" s="18" t="s">
        <v>119</v>
      </c>
      <c r="F25" s="17" t="s">
        <v>27</v>
      </c>
      <c r="G25" s="18"/>
      <c r="H25" s="17"/>
      <c r="I25" s="18"/>
    </row>
    <row r="26" spans="1:9" x14ac:dyDescent="0.2">
      <c r="A26" s="19" t="s">
        <v>123</v>
      </c>
      <c r="B26" s="20" t="s">
        <v>115</v>
      </c>
      <c r="C26" s="20" t="s">
        <v>124</v>
      </c>
      <c r="D26" s="20" t="s">
        <v>125</v>
      </c>
      <c r="E26" s="20" t="s">
        <v>126</v>
      </c>
      <c r="F26" s="17" t="s">
        <v>27</v>
      </c>
      <c r="G26" s="20"/>
      <c r="H26" s="19"/>
      <c r="I26" s="20"/>
    </row>
    <row r="27" spans="1:9" x14ac:dyDescent="0.2">
      <c r="A27" s="17" t="s">
        <v>127</v>
      </c>
      <c r="B27" s="18" t="s">
        <v>115</v>
      </c>
      <c r="C27" s="18" t="s">
        <v>128</v>
      </c>
      <c r="D27" s="18" t="s">
        <v>129</v>
      </c>
      <c r="E27" s="18" t="s">
        <v>130</v>
      </c>
      <c r="F27" s="17" t="s">
        <v>27</v>
      </c>
      <c r="G27" s="18"/>
      <c r="H27" s="17"/>
      <c r="I27" s="18"/>
    </row>
    <row r="28" spans="1:9" x14ac:dyDescent="0.2">
      <c r="A28" s="19" t="s">
        <v>131</v>
      </c>
      <c r="B28" s="20" t="s">
        <v>115</v>
      </c>
      <c r="C28" s="20" t="s">
        <v>132</v>
      </c>
      <c r="D28" s="20" t="s">
        <v>133</v>
      </c>
      <c r="E28" s="20" t="s">
        <v>134</v>
      </c>
      <c r="F28" s="17" t="s">
        <v>27</v>
      </c>
      <c r="G28" s="20"/>
      <c r="H28" s="19"/>
      <c r="I28" s="20"/>
    </row>
    <row r="29" spans="1:9" x14ac:dyDescent="0.2">
      <c r="A29" s="15" t="s">
        <v>135</v>
      </c>
      <c r="B29" s="16"/>
      <c r="C29" s="16"/>
      <c r="D29" s="16"/>
      <c r="E29" s="16"/>
      <c r="F29" s="16"/>
      <c r="G29" s="16"/>
      <c r="H29" s="16"/>
      <c r="I29" s="16"/>
    </row>
    <row r="30" spans="1:9" x14ac:dyDescent="0.2">
      <c r="A30" s="19" t="s">
        <v>136</v>
      </c>
      <c r="B30" s="20" t="s">
        <v>135</v>
      </c>
      <c r="C30" s="20" t="s">
        <v>137</v>
      </c>
      <c r="D30" s="20" t="s">
        <v>138</v>
      </c>
      <c r="E30" s="20" t="s">
        <v>139</v>
      </c>
      <c r="F30" s="17" t="s">
        <v>27</v>
      </c>
      <c r="G30" s="20"/>
      <c r="H30" s="19"/>
      <c r="I30" s="20"/>
    </row>
    <row r="31" spans="1:9" x14ac:dyDescent="0.2">
      <c r="A31" s="17" t="s">
        <v>140</v>
      </c>
      <c r="B31" s="18" t="s">
        <v>135</v>
      </c>
      <c r="C31" s="18" t="s">
        <v>141</v>
      </c>
      <c r="D31" s="18" t="s">
        <v>142</v>
      </c>
      <c r="E31" s="18" t="s">
        <v>143</v>
      </c>
      <c r="F31" s="17" t="s">
        <v>27</v>
      </c>
      <c r="G31" s="18"/>
      <c r="H31" s="17"/>
      <c r="I31" s="18"/>
    </row>
    <row r="32" spans="1:9" x14ac:dyDescent="0.2">
      <c r="A32" s="19" t="s">
        <v>144</v>
      </c>
      <c r="B32" s="20" t="s">
        <v>135</v>
      </c>
      <c r="C32" s="20" t="s">
        <v>145</v>
      </c>
      <c r="D32" s="20" t="s">
        <v>146</v>
      </c>
      <c r="E32" s="20" t="s">
        <v>147</v>
      </c>
      <c r="F32" s="17" t="s">
        <v>27</v>
      </c>
      <c r="G32" s="20"/>
      <c r="H32" s="19"/>
      <c r="I32" s="20"/>
    </row>
    <row r="33" spans="1:9" x14ac:dyDescent="0.2">
      <c r="A33" s="17" t="s">
        <v>148</v>
      </c>
      <c r="B33" s="18" t="s">
        <v>135</v>
      </c>
      <c r="C33" s="18" t="s">
        <v>149</v>
      </c>
      <c r="D33" s="18" t="s">
        <v>150</v>
      </c>
      <c r="E33" s="18" t="s">
        <v>151</v>
      </c>
      <c r="F33" s="17" t="s">
        <v>27</v>
      </c>
      <c r="G33" s="18"/>
      <c r="H33" s="17"/>
      <c r="I33" s="18"/>
    </row>
    <row r="34" spans="1:9" x14ac:dyDescent="0.2">
      <c r="A34" s="15" t="s">
        <v>152</v>
      </c>
      <c r="B34" s="16"/>
      <c r="C34" s="16"/>
      <c r="D34" s="16"/>
      <c r="E34" s="16"/>
      <c r="F34" s="16"/>
      <c r="G34" s="16"/>
      <c r="H34" s="16"/>
      <c r="I34" s="16"/>
    </row>
    <row r="35" spans="1:9" ht="28" x14ac:dyDescent="0.2">
      <c r="A35" s="17" t="s">
        <v>153</v>
      </c>
      <c r="B35" s="18" t="s">
        <v>152</v>
      </c>
      <c r="C35" s="18" t="s">
        <v>154</v>
      </c>
      <c r="D35" s="18" t="s">
        <v>155</v>
      </c>
      <c r="E35" s="18" t="s">
        <v>156</v>
      </c>
      <c r="F35" s="17" t="s">
        <v>27</v>
      </c>
      <c r="G35" s="18"/>
      <c r="H35" s="17"/>
      <c r="I35" s="18"/>
    </row>
    <row r="36" spans="1:9" ht="28" x14ac:dyDescent="0.2">
      <c r="A36" s="19" t="s">
        <v>157</v>
      </c>
      <c r="B36" s="20" t="s">
        <v>152</v>
      </c>
      <c r="C36" s="20" t="s">
        <v>158</v>
      </c>
      <c r="D36" s="20" t="s">
        <v>159</v>
      </c>
      <c r="E36" s="20" t="s">
        <v>156</v>
      </c>
      <c r="F36" s="17" t="s">
        <v>27</v>
      </c>
      <c r="G36" s="20"/>
      <c r="H36" s="19"/>
      <c r="I36" s="20"/>
    </row>
    <row r="37" spans="1:9" x14ac:dyDescent="0.2">
      <c r="A37" s="17" t="s">
        <v>160</v>
      </c>
      <c r="B37" s="18" t="s">
        <v>152</v>
      </c>
      <c r="C37" s="18" t="s">
        <v>161</v>
      </c>
      <c r="D37" s="18" t="s">
        <v>162</v>
      </c>
      <c r="E37" s="18" t="s">
        <v>163</v>
      </c>
      <c r="F37" s="17" t="s">
        <v>27</v>
      </c>
      <c r="G37" s="18"/>
      <c r="H37" s="17"/>
      <c r="I37" s="18"/>
    </row>
    <row r="38" spans="1:9" ht="28" x14ac:dyDescent="0.2">
      <c r="A38" s="19" t="s">
        <v>164</v>
      </c>
      <c r="B38" s="20" t="s">
        <v>152</v>
      </c>
      <c r="C38" s="20" t="s">
        <v>165</v>
      </c>
      <c r="D38" s="20" t="s">
        <v>166</v>
      </c>
      <c r="E38" s="20" t="s">
        <v>167</v>
      </c>
      <c r="F38" s="17" t="s">
        <v>27</v>
      </c>
      <c r="G38" s="20"/>
      <c r="H38" s="19"/>
      <c r="I38" s="20"/>
    </row>
    <row r="39" spans="1:9" ht="28" x14ac:dyDescent="0.2">
      <c r="A39" s="17" t="s">
        <v>168</v>
      </c>
      <c r="B39" s="18" t="s">
        <v>152</v>
      </c>
      <c r="C39" s="18" t="s">
        <v>169</v>
      </c>
      <c r="D39" s="18" t="s">
        <v>170</v>
      </c>
      <c r="E39" s="18" t="s">
        <v>171</v>
      </c>
      <c r="F39" s="17" t="s">
        <v>27</v>
      </c>
      <c r="G39" s="18"/>
      <c r="H39" s="17"/>
      <c r="I39" s="18"/>
    </row>
    <row r="40" spans="1:9" x14ac:dyDescent="0.2">
      <c r="A40" s="15" t="s">
        <v>172</v>
      </c>
      <c r="B40" s="16"/>
      <c r="C40" s="16"/>
      <c r="D40" s="16"/>
      <c r="E40" s="16"/>
      <c r="F40" s="16"/>
      <c r="G40" s="16"/>
      <c r="H40" s="16"/>
      <c r="I40" s="16"/>
    </row>
    <row r="41" spans="1:9" x14ac:dyDescent="0.2">
      <c r="A41" s="17" t="s">
        <v>173</v>
      </c>
      <c r="B41" s="18" t="s">
        <v>172</v>
      </c>
      <c r="C41" s="18" t="s">
        <v>174</v>
      </c>
      <c r="D41" s="18" t="s">
        <v>175</v>
      </c>
      <c r="E41" s="18" t="s">
        <v>176</v>
      </c>
      <c r="F41" s="17" t="s">
        <v>27</v>
      </c>
      <c r="G41" s="18"/>
      <c r="H41" s="17"/>
      <c r="I41" s="18"/>
    </row>
    <row r="42" spans="1:9" x14ac:dyDescent="0.2">
      <c r="A42" s="19" t="s">
        <v>177</v>
      </c>
      <c r="B42" s="20" t="s">
        <v>172</v>
      </c>
      <c r="C42" s="20" t="s">
        <v>178</v>
      </c>
      <c r="D42" s="20" t="s">
        <v>179</v>
      </c>
      <c r="E42" s="20" t="s">
        <v>180</v>
      </c>
      <c r="F42" s="17" t="s">
        <v>27</v>
      </c>
      <c r="G42" s="20"/>
      <c r="H42" s="19"/>
      <c r="I42" s="20"/>
    </row>
    <row r="43" spans="1:9" ht="28" x14ac:dyDescent="0.2">
      <c r="A43" s="17" t="s">
        <v>181</v>
      </c>
      <c r="B43" s="18" t="s">
        <v>172</v>
      </c>
      <c r="C43" s="18" t="s">
        <v>182</v>
      </c>
      <c r="D43" s="18" t="s">
        <v>183</v>
      </c>
      <c r="E43" s="18" t="s">
        <v>184</v>
      </c>
      <c r="F43" s="17" t="s">
        <v>27</v>
      </c>
      <c r="G43" s="18"/>
      <c r="H43" s="17"/>
      <c r="I43" s="18"/>
    </row>
    <row r="44" spans="1:9" x14ac:dyDescent="0.2">
      <c r="A44" s="15" t="s">
        <v>185</v>
      </c>
      <c r="B44" s="16"/>
      <c r="C44" s="16"/>
      <c r="D44" s="16"/>
      <c r="E44" s="16"/>
      <c r="F44" s="16"/>
      <c r="G44" s="16"/>
      <c r="H44" s="16"/>
      <c r="I44" s="16"/>
    </row>
    <row r="45" spans="1:9" x14ac:dyDescent="0.2">
      <c r="A45" s="17" t="s">
        <v>186</v>
      </c>
      <c r="B45" s="18" t="s">
        <v>185</v>
      </c>
      <c r="C45" s="18" t="s">
        <v>187</v>
      </c>
      <c r="D45" s="18" t="s">
        <v>188</v>
      </c>
      <c r="E45" s="18" t="s">
        <v>189</v>
      </c>
      <c r="F45" s="17" t="s">
        <v>27</v>
      </c>
      <c r="G45" s="18"/>
      <c r="H45" s="17"/>
      <c r="I45" s="18"/>
    </row>
    <row r="46" spans="1:9" ht="28" x14ac:dyDescent="0.2">
      <c r="A46" s="19" t="s">
        <v>190</v>
      </c>
      <c r="B46" s="20" t="s">
        <v>185</v>
      </c>
      <c r="C46" s="20" t="s">
        <v>191</v>
      </c>
      <c r="D46" s="20" t="s">
        <v>192</v>
      </c>
      <c r="E46" s="20" t="s">
        <v>193</v>
      </c>
      <c r="F46" s="17" t="s">
        <v>27</v>
      </c>
      <c r="G46" s="20"/>
      <c r="H46" s="19"/>
      <c r="I46" s="20"/>
    </row>
    <row r="47" spans="1:9" x14ac:dyDescent="0.2">
      <c r="A47" s="17" t="s">
        <v>194</v>
      </c>
      <c r="B47" s="18" t="s">
        <v>185</v>
      </c>
      <c r="C47" s="18" t="s">
        <v>195</v>
      </c>
      <c r="D47" s="18" t="s">
        <v>196</v>
      </c>
      <c r="E47" s="18" t="s">
        <v>197</v>
      </c>
      <c r="F47" s="17" t="s">
        <v>27</v>
      </c>
      <c r="G47" s="18"/>
      <c r="H47" s="17"/>
      <c r="I47" s="18"/>
    </row>
    <row r="48" spans="1:9" x14ac:dyDescent="0.2">
      <c r="A48" s="19" t="s">
        <v>198</v>
      </c>
      <c r="B48" s="20" t="s">
        <v>185</v>
      </c>
      <c r="C48" s="20" t="s">
        <v>199</v>
      </c>
      <c r="D48" s="20" t="s">
        <v>200</v>
      </c>
      <c r="E48" s="20" t="s">
        <v>201</v>
      </c>
      <c r="F48" s="17" t="s">
        <v>27</v>
      </c>
      <c r="G48" s="20"/>
      <c r="H48" s="19"/>
      <c r="I48" s="20"/>
    </row>
    <row r="49" spans="1:9" x14ac:dyDescent="0.2">
      <c r="A49" s="17" t="s">
        <v>202</v>
      </c>
      <c r="B49" s="18" t="s">
        <v>185</v>
      </c>
      <c r="C49" s="18" t="s">
        <v>203</v>
      </c>
      <c r="D49" s="18" t="s">
        <v>204</v>
      </c>
      <c r="E49" s="18" t="s">
        <v>205</v>
      </c>
      <c r="F49" s="17" t="s">
        <v>27</v>
      </c>
      <c r="G49" s="18"/>
      <c r="H49" s="17"/>
      <c r="I49" s="18"/>
    </row>
    <row r="50" spans="1:9" x14ac:dyDescent="0.2">
      <c r="A50" s="15" t="s">
        <v>206</v>
      </c>
      <c r="B50" s="16"/>
      <c r="C50" s="16"/>
      <c r="D50" s="16"/>
      <c r="E50" s="16"/>
      <c r="F50" s="16"/>
      <c r="G50" s="16"/>
      <c r="H50" s="16"/>
      <c r="I50" s="16"/>
    </row>
    <row r="51" spans="1:9" x14ac:dyDescent="0.2">
      <c r="A51" s="17" t="s">
        <v>207</v>
      </c>
      <c r="B51" s="18" t="s">
        <v>206</v>
      </c>
      <c r="C51" s="18" t="s">
        <v>208</v>
      </c>
      <c r="D51" s="18" t="s">
        <v>209</v>
      </c>
      <c r="E51" s="18" t="s">
        <v>210</v>
      </c>
      <c r="F51" s="17" t="s">
        <v>27</v>
      </c>
      <c r="G51" s="18"/>
      <c r="H51" s="17"/>
      <c r="I51" s="18"/>
    </row>
    <row r="52" spans="1:9" x14ac:dyDescent="0.2">
      <c r="A52" s="19" t="s">
        <v>211</v>
      </c>
      <c r="B52" s="20" t="s">
        <v>206</v>
      </c>
      <c r="C52" s="20" t="s">
        <v>212</v>
      </c>
      <c r="D52" s="20" t="s">
        <v>213</v>
      </c>
      <c r="E52" s="20" t="s">
        <v>214</v>
      </c>
      <c r="F52" s="17" t="s">
        <v>27</v>
      </c>
      <c r="G52" s="20"/>
      <c r="H52" s="19"/>
      <c r="I52" s="20"/>
    </row>
    <row r="53" spans="1:9" x14ac:dyDescent="0.2">
      <c r="A53" s="17" t="s">
        <v>215</v>
      </c>
      <c r="B53" s="18" t="s">
        <v>206</v>
      </c>
      <c r="C53" s="18" t="s">
        <v>216</v>
      </c>
      <c r="D53" s="18" t="s">
        <v>217</v>
      </c>
      <c r="E53" s="18" t="s">
        <v>218</v>
      </c>
      <c r="F53" s="17" t="s">
        <v>27</v>
      </c>
      <c r="G53" s="18"/>
      <c r="H53" s="17"/>
      <c r="I53" s="18"/>
    </row>
    <row r="54" spans="1:9" x14ac:dyDescent="0.2">
      <c r="A54" s="19" t="s">
        <v>219</v>
      </c>
      <c r="B54" s="20" t="s">
        <v>206</v>
      </c>
      <c r="C54" s="20" t="s">
        <v>220</v>
      </c>
      <c r="D54" s="20" t="s">
        <v>221</v>
      </c>
      <c r="E54" s="20" t="s">
        <v>222</v>
      </c>
      <c r="F54" s="17" t="s">
        <v>27</v>
      </c>
      <c r="G54" s="20"/>
      <c r="H54" s="19"/>
      <c r="I54" s="20"/>
    </row>
    <row r="55" spans="1:9" x14ac:dyDescent="0.2">
      <c r="A55" s="17" t="s">
        <v>223</v>
      </c>
      <c r="B55" s="18" t="s">
        <v>206</v>
      </c>
      <c r="C55" s="18" t="s">
        <v>224</v>
      </c>
      <c r="D55" s="18" t="s">
        <v>225</v>
      </c>
      <c r="E55" s="18" t="s">
        <v>226</v>
      </c>
      <c r="F55" s="17" t="s">
        <v>27</v>
      </c>
      <c r="G55" s="18"/>
      <c r="H55" s="17"/>
      <c r="I55" s="18"/>
    </row>
    <row r="56" spans="1:9" x14ac:dyDescent="0.2">
      <c r="A56" s="19" t="s">
        <v>227</v>
      </c>
      <c r="B56" s="20" t="s">
        <v>206</v>
      </c>
      <c r="C56" s="20" t="s">
        <v>228</v>
      </c>
      <c r="D56" s="20" t="s">
        <v>229</v>
      </c>
      <c r="E56" s="20" t="s">
        <v>230</v>
      </c>
      <c r="F56" s="17" t="s">
        <v>27</v>
      </c>
      <c r="G56" s="20"/>
      <c r="H56" s="19"/>
      <c r="I56" s="20"/>
    </row>
    <row r="57" spans="1:9" x14ac:dyDescent="0.2">
      <c r="A57" s="17" t="s">
        <v>231</v>
      </c>
      <c r="B57" s="18" t="s">
        <v>206</v>
      </c>
      <c r="C57" s="18" t="s">
        <v>232</v>
      </c>
      <c r="D57" s="18" t="s">
        <v>233</v>
      </c>
      <c r="E57" s="18" t="s">
        <v>234</v>
      </c>
      <c r="F57" s="17" t="s">
        <v>27</v>
      </c>
      <c r="G57" s="18"/>
      <c r="H57" s="17"/>
      <c r="I57" s="18"/>
    </row>
    <row r="58" spans="1:9" x14ac:dyDescent="0.2">
      <c r="A58" s="19" t="s">
        <v>235</v>
      </c>
      <c r="B58" s="20" t="s">
        <v>206</v>
      </c>
      <c r="C58" s="20" t="s">
        <v>236</v>
      </c>
      <c r="D58" s="20" t="s">
        <v>237</v>
      </c>
      <c r="E58" s="20" t="s">
        <v>238</v>
      </c>
      <c r="F58" s="17" t="s">
        <v>27</v>
      </c>
      <c r="G58" s="20"/>
      <c r="H58" s="19"/>
      <c r="I58" s="20"/>
    </row>
    <row r="59" spans="1:9" x14ac:dyDescent="0.2">
      <c r="A59" s="17" t="s">
        <v>239</v>
      </c>
      <c r="B59" s="18" t="s">
        <v>206</v>
      </c>
      <c r="C59" s="18" t="s">
        <v>240</v>
      </c>
      <c r="D59" s="18" t="s">
        <v>241</v>
      </c>
      <c r="E59" s="18" t="s">
        <v>242</v>
      </c>
      <c r="F59" s="17" t="s">
        <v>27</v>
      </c>
      <c r="G59" s="18"/>
      <c r="H59" s="17"/>
      <c r="I59" s="18"/>
    </row>
    <row r="60" spans="1:9" x14ac:dyDescent="0.2">
      <c r="A60" s="15" t="s">
        <v>243</v>
      </c>
      <c r="B60" s="16"/>
      <c r="C60" s="16"/>
      <c r="D60" s="16"/>
      <c r="E60" s="16"/>
      <c r="F60" s="16"/>
      <c r="G60" s="16"/>
      <c r="H60" s="16"/>
      <c r="I60" s="16"/>
    </row>
    <row r="61" spans="1:9" ht="28" x14ac:dyDescent="0.2">
      <c r="A61" s="17" t="s">
        <v>244</v>
      </c>
      <c r="B61" s="18" t="s">
        <v>243</v>
      </c>
      <c r="C61" s="18" t="s">
        <v>245</v>
      </c>
      <c r="D61" s="18" t="s">
        <v>246</v>
      </c>
      <c r="E61" s="18" t="s">
        <v>247</v>
      </c>
      <c r="F61" s="17" t="s">
        <v>27</v>
      </c>
      <c r="G61" s="18"/>
      <c r="H61" s="17"/>
      <c r="I61" s="18"/>
    </row>
    <row r="62" spans="1:9" x14ac:dyDescent="0.2">
      <c r="A62" s="19" t="s">
        <v>248</v>
      </c>
      <c r="B62" s="20" t="s">
        <v>243</v>
      </c>
      <c r="C62" s="20" t="s">
        <v>249</v>
      </c>
      <c r="D62" s="20" t="s">
        <v>250</v>
      </c>
      <c r="E62" s="20" t="s">
        <v>251</v>
      </c>
      <c r="F62" s="17" t="s">
        <v>27</v>
      </c>
      <c r="G62" s="20"/>
      <c r="H62" s="19"/>
      <c r="I62" s="20"/>
    </row>
  </sheetData>
  <autoFilter ref="A1:I62" xr:uid="{00000000-0009-0000-0000-000001000000}"/>
  <conditionalFormatting sqref="F2:F62">
    <cfRule type="expression" dxfId="2" priority="1">
      <formula>$F2="Pass"</formula>
    </cfRule>
    <cfRule type="expression" dxfId="1" priority="2">
      <formula>$F2="Fail"</formula>
    </cfRule>
    <cfRule type="expression" dxfId="0" priority="3">
      <formula>$F2="Blocked"</formula>
    </cfRule>
  </conditionalFormatting>
  <dataValidations count="2">
    <dataValidation type="list" allowBlank="1" errorTitle="Invalid result" error="Pick one: Pass / Fail / Blocked / Not Tested" sqref="F2:F62" xr:uid="{00000000-0002-0000-0100-000000000000}">
      <formula1>"Pass,Fail,Blocked,Not Tested"</formula1>
    </dataValidation>
    <dataValidation type="list" allowBlank="1" sqref="H2:H62" xr:uid="{00000000-0002-0000-0100-000001000000}">
      <formula1>"Critical,Major,Minor"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2" customWidth="1"/>
  </cols>
  <sheetData>
    <row r="1" spans="1:2" ht="23" x14ac:dyDescent="0.25">
      <c r="A1" s="21" t="s">
        <v>252</v>
      </c>
    </row>
    <row r="3" spans="1:2" x14ac:dyDescent="0.2">
      <c r="A3" s="22" t="s">
        <v>37</v>
      </c>
      <c r="B3" s="23" t="s">
        <v>253</v>
      </c>
    </row>
    <row r="4" spans="1:2" x14ac:dyDescent="0.2">
      <c r="A4" s="9" t="s">
        <v>254</v>
      </c>
      <c r="B4" s="24">
        <f>COUNTA('Test Cases'!$A$2:$A$62)-COUNTIF('Test Cases'!$A$2:$A$62,"*.*")</f>
        <v>51</v>
      </c>
    </row>
    <row r="5" spans="1:2" x14ac:dyDescent="0.2">
      <c r="A5" s="25" t="s">
        <v>21</v>
      </c>
      <c r="B5" s="24">
        <f>COUNTIF('Test Cases'!$F$2:$F$62,"Pass")</f>
        <v>9</v>
      </c>
    </row>
    <row r="6" spans="1:2" x14ac:dyDescent="0.2">
      <c r="A6" s="26" t="s">
        <v>23</v>
      </c>
      <c r="B6" s="24">
        <f>COUNTIF('Test Cases'!$F$2:$F$62,"Fail")</f>
        <v>4</v>
      </c>
    </row>
    <row r="7" spans="1:2" x14ac:dyDescent="0.2">
      <c r="A7" s="27" t="s">
        <v>25</v>
      </c>
      <c r="B7" s="24">
        <f>COUNTIF('Test Cases'!$F$2:$F$62,"Blocked")</f>
        <v>3</v>
      </c>
    </row>
    <row r="8" spans="1:2" x14ac:dyDescent="0.2">
      <c r="A8" s="28" t="s">
        <v>27</v>
      </c>
      <c r="B8" s="24">
        <f>COUNTIF('Test Cases'!$F$2:$F$62,"Not Tested")</f>
        <v>35</v>
      </c>
    </row>
    <row r="10" spans="1:2" x14ac:dyDescent="0.2">
      <c r="A10" s="29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 ARYAL</cp:lastModifiedBy>
  <dcterms:created xsi:type="dcterms:W3CDTF">2026-06-24T17:26:56Z</dcterms:created>
  <dcterms:modified xsi:type="dcterms:W3CDTF">2026-06-24T21:35:53Z</dcterms:modified>
</cp:coreProperties>
</file>